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mian/Documents/Tesis maestria/Bootstraps_codigos_bases/"/>
    </mc:Choice>
  </mc:AlternateContent>
  <xr:revisionPtr revIDLastSave="0" documentId="13_ncr:1_{AD740F7F-A0E3-2240-9C73-DCCC2E7414EB}" xr6:coauthVersionLast="46" xr6:coauthVersionMax="46" xr10:uidLastSave="{00000000-0000-0000-0000-000000000000}"/>
  <bookViews>
    <workbookView xWindow="1080" yWindow="820" windowWidth="28040" windowHeight="17440" activeTab="2" xr2:uid="{E4F978DA-0C9B-2B40-8BC5-E52A397BAF85}"/>
  </bookViews>
  <sheets>
    <sheet name="Metodo 1 sub votos" sheetId="3" r:id="rId1"/>
    <sheet name="Metodo 2 sub votos" sheetId="1" r:id="rId2"/>
    <sheet name="Votos directo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2" l="1"/>
  <c r="K37" i="2"/>
  <c r="K36" i="2"/>
  <c r="K35" i="2"/>
  <c r="K34" i="2"/>
  <c r="K39" i="2" s="1"/>
  <c r="K42" i="1"/>
  <c r="K41" i="1"/>
  <c r="K40" i="1"/>
  <c r="K39" i="1"/>
  <c r="K38" i="1"/>
  <c r="K43" i="1" s="1"/>
  <c r="K32" i="1"/>
  <c r="K43" i="3"/>
  <c r="K32" i="3"/>
  <c r="K21" i="3"/>
  <c r="K42" i="3"/>
  <c r="K41" i="3"/>
  <c r="K40" i="3"/>
  <c r="K39" i="3"/>
  <c r="K38" i="3"/>
  <c r="K31" i="3"/>
  <c r="K30" i="3"/>
  <c r="K29" i="3"/>
  <c r="K28" i="3"/>
  <c r="K27" i="3"/>
  <c r="K20" i="3"/>
  <c r="K19" i="3"/>
  <c r="K18" i="3"/>
  <c r="K17" i="3"/>
  <c r="K16" i="3"/>
  <c r="K9" i="3"/>
  <c r="K8" i="3"/>
  <c r="K7" i="3"/>
  <c r="K6" i="3"/>
  <c r="K5" i="3"/>
  <c r="K28" i="2"/>
  <c r="K27" i="2"/>
  <c r="K26" i="2"/>
  <c r="K25" i="2"/>
  <c r="K24" i="2"/>
  <c r="K29" i="2" s="1"/>
  <c r="K18" i="2"/>
  <c r="K17" i="2"/>
  <c r="K16" i="2"/>
  <c r="K15" i="2"/>
  <c r="K14" i="2"/>
  <c r="K19" i="2" s="1"/>
  <c r="K8" i="2"/>
  <c r="K7" i="2"/>
  <c r="K6" i="2"/>
  <c r="K5" i="2"/>
  <c r="K4" i="2"/>
  <c r="K9" i="2" s="1"/>
  <c r="K31" i="1"/>
  <c r="K30" i="1"/>
  <c r="K29" i="1"/>
  <c r="K28" i="1"/>
  <c r="K27" i="1"/>
  <c r="K20" i="1"/>
  <c r="K19" i="1"/>
  <c r="K18" i="1"/>
  <c r="K17" i="1"/>
  <c r="K16" i="1"/>
  <c r="K21" i="1" s="1"/>
  <c r="K6" i="1"/>
  <c r="K7" i="1"/>
  <c r="K8" i="1"/>
  <c r="K9" i="1"/>
  <c r="K5" i="1"/>
  <c r="K10" i="1" s="1"/>
  <c r="K10" i="3" l="1"/>
</calcChain>
</file>

<file path=xl/sharedStrings.xml><?xml version="1.0" encoding="utf-8"?>
<sst xmlns="http://schemas.openxmlformats.org/spreadsheetml/2006/main" count="283" uniqueCount="21">
  <si>
    <t>Muestra casillas=250</t>
  </si>
  <si>
    <t>Submuestra votos=20000</t>
  </si>
  <si>
    <t>Estratificado</t>
  </si>
  <si>
    <t>Candidato</t>
  </si>
  <si>
    <t>Numero_total_cob</t>
  </si>
  <si>
    <t>Cobertura</t>
  </si>
  <si>
    <t>Porcenta_tama</t>
  </si>
  <si>
    <t>JOAQUIN_DIAZ_MENA</t>
  </si>
  <si>
    <t>RENAN_BARRERA_CONCHA</t>
  </si>
  <si>
    <t>VIDA_ARAVARI_GOMEZ_HERRERA</t>
  </si>
  <si>
    <t>VOTOS_NULOS_CAND_NO_REGIS</t>
  </si>
  <si>
    <t>YAMIL_JASMIN_LOPEZ_MANRIQUE</t>
  </si>
  <si>
    <t>Submuestra votos=10000</t>
  </si>
  <si>
    <t>Submuestra votos=5000</t>
  </si>
  <si>
    <t>Sin estratificar</t>
  </si>
  <si>
    <t>Muestra votos=5000</t>
  </si>
  <si>
    <t>Muestra votos=20000</t>
  </si>
  <si>
    <t>Muestra votos=10000</t>
  </si>
  <si>
    <t>Diferencia:= Estratificado - Sin estratificar</t>
  </si>
  <si>
    <t>Submuestra votos=2000</t>
  </si>
  <si>
    <t>Muestra votos=2000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</si>
</sst>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6087-8BD4-944F-ABAF-9DE8B45A00DB}">
  <dimension ref="A1:K43"/>
  <sheetViews>
    <sheetView topLeftCell="A11" workbookViewId="0">
      <selection activeCell="F16" sqref="F16"/>
    </sheetView>
  </sheetViews>
  <sheetFormatPr baseColWidth="10" defaultRowHeight="16" x14ac:dyDescent="0.2"/>
  <cols>
    <col min="1" max="1" width="30.83203125" bestFit="1" customWidth="1"/>
    <col min="2" max="2" width="16.6640625" bestFit="1" customWidth="1"/>
    <col min="3" max="3" width="9.1640625" bestFit="1" customWidth="1"/>
    <col min="4" max="4" width="13.6640625" bestFit="1" customWidth="1"/>
    <col min="6" max="6" width="30.83203125" bestFit="1" customWidth="1"/>
    <col min="7" max="7" width="16.6640625" bestFit="1" customWidth="1"/>
    <col min="8" max="8" width="9.1640625" bestFit="1" customWidth="1"/>
    <col min="9" max="9" width="13.6640625" bestFit="1" customWidth="1"/>
  </cols>
  <sheetData>
    <row r="1" spans="1:11" x14ac:dyDescent="0.2">
      <c r="A1" t="s">
        <v>0</v>
      </c>
      <c r="F1" t="s">
        <v>0</v>
      </c>
    </row>
    <row r="2" spans="1:11" x14ac:dyDescent="0.2">
      <c r="A2" t="s">
        <v>1</v>
      </c>
      <c r="F2" t="s">
        <v>1</v>
      </c>
    </row>
    <row r="3" spans="1:11" x14ac:dyDescent="0.2">
      <c r="A3" t="s">
        <v>2</v>
      </c>
      <c r="F3" t="s">
        <v>14</v>
      </c>
    </row>
    <row r="4" spans="1:11" x14ac:dyDescent="0.2">
      <c r="A4" t="s">
        <v>3</v>
      </c>
      <c r="B4" t="s">
        <v>4</v>
      </c>
      <c r="C4" t="s">
        <v>5</v>
      </c>
      <c r="D4" t="s">
        <v>6</v>
      </c>
      <c r="F4" t="s">
        <v>3</v>
      </c>
      <c r="G4" t="s">
        <v>4</v>
      </c>
      <c r="H4" t="s">
        <v>5</v>
      </c>
      <c r="I4" t="s">
        <v>6</v>
      </c>
      <c r="K4" t="s">
        <v>18</v>
      </c>
    </row>
    <row r="5" spans="1:11" x14ac:dyDescent="0.2">
      <c r="A5" t="s">
        <v>7</v>
      </c>
      <c r="B5">
        <v>657</v>
      </c>
      <c r="C5">
        <v>0.65700000000000003</v>
      </c>
      <c r="D5">
        <v>20000</v>
      </c>
      <c r="F5" t="s">
        <v>7</v>
      </c>
      <c r="G5">
        <v>554</v>
      </c>
      <c r="H5">
        <v>0.55400000000000005</v>
      </c>
      <c r="I5">
        <v>20000</v>
      </c>
      <c r="K5" s="1">
        <f>C5-H5</f>
        <v>0.10299999999999998</v>
      </c>
    </row>
    <row r="6" spans="1:11" x14ac:dyDescent="0.2">
      <c r="A6" t="s">
        <v>8</v>
      </c>
      <c r="B6">
        <v>664</v>
      </c>
      <c r="C6">
        <v>0.66400000000000003</v>
      </c>
      <c r="D6">
        <v>20000</v>
      </c>
      <c r="F6" t="s">
        <v>8</v>
      </c>
      <c r="G6">
        <v>538</v>
      </c>
      <c r="H6">
        <v>0.53800000000000003</v>
      </c>
      <c r="I6">
        <v>20000</v>
      </c>
      <c r="K6" s="1">
        <f t="shared" ref="K6:K9" si="0">C6-H6</f>
        <v>0.126</v>
      </c>
    </row>
    <row r="7" spans="1:11" x14ac:dyDescent="0.2">
      <c r="A7" t="s">
        <v>9</v>
      </c>
      <c r="B7">
        <v>721</v>
      </c>
      <c r="C7">
        <v>0.72099999999999997</v>
      </c>
      <c r="D7">
        <v>20000</v>
      </c>
      <c r="F7" t="s">
        <v>9</v>
      </c>
      <c r="G7">
        <v>658</v>
      </c>
      <c r="H7">
        <v>0.65800000000000003</v>
      </c>
      <c r="I7">
        <v>20000</v>
      </c>
      <c r="K7" s="1">
        <f t="shared" si="0"/>
        <v>6.2999999999999945E-2</v>
      </c>
    </row>
    <row r="8" spans="1:11" x14ac:dyDescent="0.2">
      <c r="A8" t="s">
        <v>10</v>
      </c>
      <c r="B8">
        <v>873</v>
      </c>
      <c r="C8">
        <v>0.873</v>
      </c>
      <c r="D8">
        <v>20000</v>
      </c>
      <c r="F8" t="s">
        <v>10</v>
      </c>
      <c r="G8">
        <v>868</v>
      </c>
      <c r="H8">
        <v>0.86799999999999999</v>
      </c>
      <c r="I8">
        <v>20000</v>
      </c>
      <c r="K8" s="1">
        <f t="shared" si="0"/>
        <v>5.0000000000000044E-3</v>
      </c>
    </row>
    <row r="9" spans="1:11" x14ac:dyDescent="0.2">
      <c r="A9" t="s">
        <v>11</v>
      </c>
      <c r="B9">
        <v>744</v>
      </c>
      <c r="C9">
        <v>0.74399999999999999</v>
      </c>
      <c r="D9">
        <v>20000</v>
      </c>
      <c r="F9" t="s">
        <v>11</v>
      </c>
      <c r="G9">
        <v>752</v>
      </c>
      <c r="H9">
        <v>0.752</v>
      </c>
      <c r="I9">
        <v>20000</v>
      </c>
      <c r="K9" s="1">
        <f t="shared" si="0"/>
        <v>-8.0000000000000071E-3</v>
      </c>
    </row>
    <row r="10" spans="1:11" x14ac:dyDescent="0.2">
      <c r="K10" s="2">
        <f>AVERAGE(K5:K9)</f>
        <v>5.7799999999999983E-2</v>
      </c>
    </row>
    <row r="12" spans="1:11" x14ac:dyDescent="0.2">
      <c r="A12" t="s">
        <v>0</v>
      </c>
      <c r="F12" t="s">
        <v>0</v>
      </c>
    </row>
    <row r="13" spans="1:11" x14ac:dyDescent="0.2">
      <c r="A13" t="s">
        <v>12</v>
      </c>
      <c r="F13" t="s">
        <v>12</v>
      </c>
    </row>
    <row r="14" spans="1:11" x14ac:dyDescent="0.2">
      <c r="A14" t="s">
        <v>2</v>
      </c>
      <c r="F14" t="s">
        <v>14</v>
      </c>
    </row>
    <row r="15" spans="1:11" x14ac:dyDescent="0.2">
      <c r="A15" t="s">
        <v>3</v>
      </c>
      <c r="B15" t="s">
        <v>4</v>
      </c>
      <c r="C15" t="s">
        <v>5</v>
      </c>
      <c r="D15" t="s">
        <v>6</v>
      </c>
      <c r="F15" t="s">
        <v>3</v>
      </c>
      <c r="G15" t="s">
        <v>4</v>
      </c>
      <c r="H15" t="s">
        <v>5</v>
      </c>
      <c r="I15" t="s">
        <v>6</v>
      </c>
    </row>
    <row r="16" spans="1:11" x14ac:dyDescent="0.2">
      <c r="A16" t="s">
        <v>7</v>
      </c>
      <c r="B16">
        <v>770</v>
      </c>
      <c r="C16">
        <v>0.77</v>
      </c>
      <c r="D16">
        <v>10000</v>
      </c>
      <c r="F16" t="s">
        <v>7</v>
      </c>
      <c r="G16">
        <v>684</v>
      </c>
      <c r="H16">
        <v>0.68400000000000005</v>
      </c>
      <c r="I16">
        <v>10000</v>
      </c>
      <c r="K16" s="1">
        <f>C16-H16</f>
        <v>8.5999999999999965E-2</v>
      </c>
    </row>
    <row r="17" spans="1:11" x14ac:dyDescent="0.2">
      <c r="A17" t="s">
        <v>8</v>
      </c>
      <c r="B17">
        <v>731</v>
      </c>
      <c r="C17">
        <v>0.73099999999999998</v>
      </c>
      <c r="D17">
        <v>10000</v>
      </c>
      <c r="F17" t="s">
        <v>8</v>
      </c>
      <c r="G17">
        <v>651</v>
      </c>
      <c r="H17">
        <v>0.65100000000000002</v>
      </c>
      <c r="I17">
        <v>10000</v>
      </c>
      <c r="K17" s="1">
        <f t="shared" ref="K17:K20" si="1">C17-H17</f>
        <v>7.999999999999996E-2</v>
      </c>
    </row>
    <row r="18" spans="1:11" x14ac:dyDescent="0.2">
      <c r="A18" t="s">
        <v>9</v>
      </c>
      <c r="B18">
        <v>780</v>
      </c>
      <c r="C18">
        <v>0.78</v>
      </c>
      <c r="D18">
        <v>10000</v>
      </c>
      <c r="F18" t="s">
        <v>9</v>
      </c>
      <c r="G18">
        <v>790</v>
      </c>
      <c r="H18">
        <v>0.79</v>
      </c>
      <c r="I18">
        <v>10000</v>
      </c>
      <c r="K18" s="1">
        <f t="shared" si="1"/>
        <v>-1.0000000000000009E-2</v>
      </c>
    </row>
    <row r="19" spans="1:11" x14ac:dyDescent="0.2">
      <c r="A19" t="s">
        <v>10</v>
      </c>
      <c r="B19">
        <v>904</v>
      </c>
      <c r="C19">
        <v>0.90400000000000003</v>
      </c>
      <c r="D19">
        <v>10000</v>
      </c>
      <c r="F19" t="s">
        <v>10</v>
      </c>
      <c r="G19">
        <v>886</v>
      </c>
      <c r="H19">
        <v>0.88600000000000001</v>
      </c>
      <c r="I19">
        <v>10000</v>
      </c>
      <c r="K19" s="1">
        <f t="shared" si="1"/>
        <v>1.8000000000000016E-2</v>
      </c>
    </row>
    <row r="20" spans="1:11" x14ac:dyDescent="0.2">
      <c r="A20" t="s">
        <v>11</v>
      </c>
      <c r="B20">
        <v>828</v>
      </c>
      <c r="C20">
        <v>0.82799999999999996</v>
      </c>
      <c r="D20">
        <v>10000</v>
      </c>
      <c r="F20" t="s">
        <v>11</v>
      </c>
      <c r="G20">
        <v>842</v>
      </c>
      <c r="H20">
        <v>0.84199999999999997</v>
      </c>
      <c r="I20">
        <v>10000</v>
      </c>
      <c r="K20" s="1">
        <f t="shared" si="1"/>
        <v>-1.4000000000000012E-2</v>
      </c>
    </row>
    <row r="21" spans="1:11" x14ac:dyDescent="0.2">
      <c r="K21" s="2">
        <f>AVERAGE(K16:K20)</f>
        <v>3.1999999999999987E-2</v>
      </c>
    </row>
    <row r="23" spans="1:11" x14ac:dyDescent="0.2">
      <c r="A23" t="s">
        <v>0</v>
      </c>
      <c r="F23" t="s">
        <v>0</v>
      </c>
    </row>
    <row r="24" spans="1:11" x14ac:dyDescent="0.2">
      <c r="A24" t="s">
        <v>13</v>
      </c>
      <c r="F24" t="s">
        <v>13</v>
      </c>
    </row>
    <row r="25" spans="1:11" x14ac:dyDescent="0.2">
      <c r="A25" t="s">
        <v>2</v>
      </c>
      <c r="F25" t="s">
        <v>14</v>
      </c>
    </row>
    <row r="26" spans="1:11" x14ac:dyDescent="0.2">
      <c r="A26" t="s">
        <v>3</v>
      </c>
      <c r="B26" t="s">
        <v>4</v>
      </c>
      <c r="C26" t="s">
        <v>5</v>
      </c>
      <c r="D26" t="s">
        <v>6</v>
      </c>
      <c r="F26" t="s">
        <v>3</v>
      </c>
      <c r="G26" t="s">
        <v>4</v>
      </c>
      <c r="H26" t="s">
        <v>5</v>
      </c>
      <c r="I26" t="s">
        <v>6</v>
      </c>
    </row>
    <row r="27" spans="1:11" x14ac:dyDescent="0.2">
      <c r="A27" t="s">
        <v>7</v>
      </c>
      <c r="B27">
        <v>851</v>
      </c>
      <c r="C27">
        <v>0.85099999999999998</v>
      </c>
      <c r="D27">
        <v>5000</v>
      </c>
      <c r="F27" t="s">
        <v>7</v>
      </c>
      <c r="G27">
        <v>789</v>
      </c>
      <c r="H27">
        <v>0.78900000000000003</v>
      </c>
      <c r="I27">
        <v>5000</v>
      </c>
      <c r="K27" s="1">
        <f>C27-H27</f>
        <v>6.1999999999999944E-2</v>
      </c>
    </row>
    <row r="28" spans="1:11" x14ac:dyDescent="0.2">
      <c r="A28" t="s">
        <v>8</v>
      </c>
      <c r="B28">
        <v>838</v>
      </c>
      <c r="C28">
        <v>0.83799999999999997</v>
      </c>
      <c r="D28">
        <v>5000</v>
      </c>
      <c r="F28" t="s">
        <v>8</v>
      </c>
      <c r="G28">
        <v>770</v>
      </c>
      <c r="H28">
        <v>0.77</v>
      </c>
      <c r="I28">
        <v>5000</v>
      </c>
      <c r="K28" s="1">
        <f t="shared" ref="K28:K31" si="2">C28-H28</f>
        <v>6.7999999999999949E-2</v>
      </c>
    </row>
    <row r="29" spans="1:11" x14ac:dyDescent="0.2">
      <c r="A29" t="s">
        <v>9</v>
      </c>
      <c r="B29">
        <v>873</v>
      </c>
      <c r="C29">
        <v>0.873</v>
      </c>
      <c r="D29">
        <v>5000</v>
      </c>
      <c r="F29" t="s">
        <v>9</v>
      </c>
      <c r="G29">
        <v>862</v>
      </c>
      <c r="H29">
        <v>0.86199999999999999</v>
      </c>
      <c r="I29">
        <v>5000</v>
      </c>
      <c r="K29" s="1">
        <f t="shared" si="2"/>
        <v>1.100000000000001E-2</v>
      </c>
    </row>
    <row r="30" spans="1:11" x14ac:dyDescent="0.2">
      <c r="A30" t="s">
        <v>10</v>
      </c>
      <c r="B30">
        <v>931</v>
      </c>
      <c r="C30">
        <v>0.93100000000000005</v>
      </c>
      <c r="D30">
        <v>5000</v>
      </c>
      <c r="F30" t="s">
        <v>10</v>
      </c>
      <c r="G30">
        <v>936</v>
      </c>
      <c r="H30">
        <v>0.93600000000000005</v>
      </c>
      <c r="I30">
        <v>5000</v>
      </c>
      <c r="K30" s="1">
        <f t="shared" si="2"/>
        <v>-5.0000000000000044E-3</v>
      </c>
    </row>
    <row r="31" spans="1:11" x14ac:dyDescent="0.2">
      <c r="A31" t="s">
        <v>11</v>
      </c>
      <c r="B31">
        <v>879</v>
      </c>
      <c r="C31">
        <v>0.879</v>
      </c>
      <c r="D31">
        <v>5000</v>
      </c>
      <c r="F31" t="s">
        <v>11</v>
      </c>
      <c r="G31">
        <v>872</v>
      </c>
      <c r="H31">
        <v>0.872</v>
      </c>
      <c r="I31">
        <v>5000</v>
      </c>
      <c r="K31" s="1">
        <f t="shared" si="2"/>
        <v>7.0000000000000062E-3</v>
      </c>
    </row>
    <row r="32" spans="1:11" x14ac:dyDescent="0.2">
      <c r="K32" s="2">
        <f>AVERAGE(K27:K31)</f>
        <v>2.859999999999998E-2</v>
      </c>
    </row>
    <row r="34" spans="1:11" x14ac:dyDescent="0.2">
      <c r="A34" t="s">
        <v>0</v>
      </c>
      <c r="F34" t="s">
        <v>0</v>
      </c>
    </row>
    <row r="35" spans="1:11" x14ac:dyDescent="0.2">
      <c r="A35" t="s">
        <v>19</v>
      </c>
      <c r="F35" t="s">
        <v>19</v>
      </c>
    </row>
    <row r="36" spans="1:11" x14ac:dyDescent="0.2">
      <c r="A36" t="s">
        <v>2</v>
      </c>
      <c r="F36" t="s">
        <v>14</v>
      </c>
    </row>
    <row r="37" spans="1:11" x14ac:dyDescent="0.2">
      <c r="A37" t="s">
        <v>3</v>
      </c>
      <c r="B37" t="s">
        <v>4</v>
      </c>
      <c r="C37" t="s">
        <v>5</v>
      </c>
      <c r="D37" t="s">
        <v>6</v>
      </c>
      <c r="F37" t="s">
        <v>3</v>
      </c>
      <c r="G37" t="s">
        <v>4</v>
      </c>
      <c r="H37" t="s">
        <v>5</v>
      </c>
      <c r="I37" t="s">
        <v>6</v>
      </c>
    </row>
    <row r="38" spans="1:11" x14ac:dyDescent="0.2">
      <c r="A38" t="s">
        <v>7</v>
      </c>
      <c r="B38">
        <v>914</v>
      </c>
      <c r="C38">
        <v>0.91400000000000003</v>
      </c>
      <c r="D38">
        <v>2000</v>
      </c>
      <c r="F38" t="s">
        <v>7</v>
      </c>
      <c r="G38">
        <v>881</v>
      </c>
      <c r="H38">
        <v>0.88100000000000001</v>
      </c>
      <c r="I38">
        <v>2000</v>
      </c>
      <c r="K38" s="1">
        <f>C38-H38</f>
        <v>3.3000000000000029E-2</v>
      </c>
    </row>
    <row r="39" spans="1:11" x14ac:dyDescent="0.2">
      <c r="A39" t="s">
        <v>8</v>
      </c>
      <c r="B39">
        <v>886</v>
      </c>
      <c r="C39">
        <v>0.88600000000000001</v>
      </c>
      <c r="D39">
        <v>2000</v>
      </c>
      <c r="F39" t="s">
        <v>8</v>
      </c>
      <c r="G39">
        <v>886</v>
      </c>
      <c r="H39">
        <v>0.88600000000000001</v>
      </c>
      <c r="I39">
        <v>2000</v>
      </c>
      <c r="K39" s="1">
        <f t="shared" ref="K39:K42" si="3">C39-H39</f>
        <v>0</v>
      </c>
    </row>
    <row r="40" spans="1:11" x14ac:dyDescent="0.2">
      <c r="A40" t="s">
        <v>9</v>
      </c>
      <c r="B40">
        <v>912</v>
      </c>
      <c r="C40">
        <v>0.91200000000000003</v>
      </c>
      <c r="D40">
        <v>2000</v>
      </c>
      <c r="F40" t="s">
        <v>9</v>
      </c>
      <c r="G40">
        <v>913</v>
      </c>
      <c r="H40">
        <v>0.91300000000000003</v>
      </c>
      <c r="I40">
        <v>2000</v>
      </c>
      <c r="K40" s="1">
        <f t="shared" si="3"/>
        <v>-1.0000000000000009E-3</v>
      </c>
    </row>
    <row r="41" spans="1:11" x14ac:dyDescent="0.2">
      <c r="A41" t="s">
        <v>10</v>
      </c>
      <c r="B41">
        <v>943</v>
      </c>
      <c r="C41">
        <v>0.94299999999999995</v>
      </c>
      <c r="D41">
        <v>2000</v>
      </c>
      <c r="F41" t="s">
        <v>10</v>
      </c>
      <c r="G41">
        <v>926</v>
      </c>
      <c r="H41">
        <v>0.92600000000000005</v>
      </c>
      <c r="I41">
        <v>2000</v>
      </c>
      <c r="K41" s="1">
        <f t="shared" si="3"/>
        <v>1.6999999999999904E-2</v>
      </c>
    </row>
    <row r="42" spans="1:11" x14ac:dyDescent="0.2">
      <c r="A42" t="s">
        <v>11</v>
      </c>
      <c r="B42">
        <v>900</v>
      </c>
      <c r="C42">
        <v>0.9</v>
      </c>
      <c r="D42">
        <v>2000</v>
      </c>
      <c r="F42" t="s">
        <v>11</v>
      </c>
      <c r="G42">
        <v>906</v>
      </c>
      <c r="H42">
        <v>0.90600000000000003</v>
      </c>
      <c r="I42">
        <v>2000</v>
      </c>
      <c r="K42" s="1">
        <f t="shared" si="3"/>
        <v>-6.0000000000000053E-3</v>
      </c>
    </row>
    <row r="43" spans="1:11" x14ac:dyDescent="0.2">
      <c r="K43" s="2">
        <f>AVERAGE(K38:K42)</f>
        <v>8.5999999999999861E-3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7E0D-86CE-624A-B0B2-FDE2901FC504}">
  <dimension ref="A1:K43"/>
  <sheetViews>
    <sheetView workbookViewId="0">
      <selection activeCell="F40" sqref="F40"/>
    </sheetView>
  </sheetViews>
  <sheetFormatPr baseColWidth="10" defaultRowHeight="16" x14ac:dyDescent="0.2"/>
  <cols>
    <col min="1" max="1" width="30.83203125" bestFit="1" customWidth="1"/>
    <col min="2" max="2" width="16.6640625" bestFit="1" customWidth="1"/>
    <col min="3" max="3" width="9.1640625" bestFit="1" customWidth="1"/>
    <col min="4" max="4" width="13.6640625" bestFit="1" customWidth="1"/>
    <col min="6" max="6" width="30.83203125" bestFit="1" customWidth="1"/>
    <col min="7" max="7" width="16.6640625" bestFit="1" customWidth="1"/>
    <col min="8" max="8" width="9.1640625" bestFit="1" customWidth="1"/>
    <col min="9" max="9" width="13.6640625" bestFit="1" customWidth="1"/>
  </cols>
  <sheetData>
    <row r="1" spans="1:11" x14ac:dyDescent="0.2">
      <c r="A1" t="s">
        <v>0</v>
      </c>
      <c r="F1" t="s">
        <v>0</v>
      </c>
    </row>
    <row r="2" spans="1:11" x14ac:dyDescent="0.2">
      <c r="A2" t="s">
        <v>1</v>
      </c>
      <c r="F2" t="s">
        <v>1</v>
      </c>
    </row>
    <row r="3" spans="1:11" x14ac:dyDescent="0.2">
      <c r="A3" t="s">
        <v>2</v>
      </c>
      <c r="F3" t="s">
        <v>14</v>
      </c>
    </row>
    <row r="4" spans="1:11" x14ac:dyDescent="0.2">
      <c r="A4" t="s">
        <v>3</v>
      </c>
      <c r="B4" t="s">
        <v>4</v>
      </c>
      <c r="C4" t="s">
        <v>5</v>
      </c>
      <c r="D4" t="s">
        <v>6</v>
      </c>
      <c r="F4" t="s">
        <v>3</v>
      </c>
      <c r="G4" t="s">
        <v>4</v>
      </c>
      <c r="H4" t="s">
        <v>5</v>
      </c>
      <c r="I4" t="s">
        <v>6</v>
      </c>
      <c r="K4" t="s">
        <v>18</v>
      </c>
    </row>
    <row r="5" spans="1:11" x14ac:dyDescent="0.2">
      <c r="A5" t="s">
        <v>7</v>
      </c>
      <c r="B5">
        <v>839</v>
      </c>
      <c r="C5">
        <v>0.83899999999999997</v>
      </c>
      <c r="D5">
        <v>20000</v>
      </c>
      <c r="F5" t="s">
        <v>7</v>
      </c>
      <c r="G5">
        <v>753</v>
      </c>
      <c r="H5">
        <v>0.753</v>
      </c>
      <c r="I5">
        <v>20000</v>
      </c>
      <c r="K5" s="1">
        <f>C5-H5</f>
        <v>8.5999999999999965E-2</v>
      </c>
    </row>
    <row r="6" spans="1:11" x14ac:dyDescent="0.2">
      <c r="A6" t="s">
        <v>8</v>
      </c>
      <c r="B6">
        <v>808</v>
      </c>
      <c r="C6">
        <v>0.80800000000000005</v>
      </c>
      <c r="D6">
        <v>20000</v>
      </c>
      <c r="F6" t="s">
        <v>8</v>
      </c>
      <c r="G6">
        <v>734</v>
      </c>
      <c r="H6">
        <v>0.73399999999999999</v>
      </c>
      <c r="I6">
        <v>20000</v>
      </c>
      <c r="K6" s="1">
        <f t="shared" ref="K6:K9" si="0">C6-H6</f>
        <v>7.4000000000000066E-2</v>
      </c>
    </row>
    <row r="7" spans="1:11" x14ac:dyDescent="0.2">
      <c r="A7" t="s">
        <v>9</v>
      </c>
      <c r="B7">
        <v>883</v>
      </c>
      <c r="C7">
        <v>0.88300000000000001</v>
      </c>
      <c r="D7">
        <v>20000</v>
      </c>
      <c r="F7" t="s">
        <v>9</v>
      </c>
      <c r="G7">
        <v>848</v>
      </c>
      <c r="H7">
        <v>0.84799999999999998</v>
      </c>
      <c r="I7">
        <v>20000</v>
      </c>
      <c r="K7" s="1">
        <f t="shared" si="0"/>
        <v>3.5000000000000031E-2</v>
      </c>
    </row>
    <row r="8" spans="1:11" x14ac:dyDescent="0.2">
      <c r="A8" t="s">
        <v>10</v>
      </c>
      <c r="B8">
        <v>988</v>
      </c>
      <c r="C8">
        <v>0.98799999999999999</v>
      </c>
      <c r="D8">
        <v>20000</v>
      </c>
      <c r="F8" t="s">
        <v>10</v>
      </c>
      <c r="G8">
        <v>991</v>
      </c>
      <c r="H8">
        <v>0.99099999999999999</v>
      </c>
      <c r="I8">
        <v>20000</v>
      </c>
      <c r="K8" s="1">
        <f t="shared" si="0"/>
        <v>-3.0000000000000027E-3</v>
      </c>
    </row>
    <row r="9" spans="1:11" x14ac:dyDescent="0.2">
      <c r="A9" t="s">
        <v>11</v>
      </c>
      <c r="B9">
        <v>918</v>
      </c>
      <c r="C9">
        <v>0.91800000000000004</v>
      </c>
      <c r="D9">
        <v>20000</v>
      </c>
      <c r="F9" t="s">
        <v>11</v>
      </c>
      <c r="G9">
        <v>911</v>
      </c>
      <c r="H9">
        <v>0.91100000000000003</v>
      </c>
      <c r="I9">
        <v>20000</v>
      </c>
      <c r="K9" s="1">
        <f t="shared" si="0"/>
        <v>7.0000000000000062E-3</v>
      </c>
    </row>
    <row r="10" spans="1:11" x14ac:dyDescent="0.2">
      <c r="K10" s="2">
        <f>AVERAGE(K5:K9)</f>
        <v>3.9800000000000016E-2</v>
      </c>
    </row>
    <row r="12" spans="1:11" x14ac:dyDescent="0.2">
      <c r="A12" t="s">
        <v>0</v>
      </c>
      <c r="F12" t="s">
        <v>0</v>
      </c>
    </row>
    <row r="13" spans="1:11" x14ac:dyDescent="0.2">
      <c r="A13" t="s">
        <v>12</v>
      </c>
      <c r="F13" t="s">
        <v>12</v>
      </c>
    </row>
    <row r="14" spans="1:11" x14ac:dyDescent="0.2">
      <c r="A14" t="s">
        <v>2</v>
      </c>
      <c r="F14" t="s">
        <v>14</v>
      </c>
    </row>
    <row r="15" spans="1:11" x14ac:dyDescent="0.2">
      <c r="A15" t="s">
        <v>3</v>
      </c>
      <c r="B15" t="s">
        <v>4</v>
      </c>
      <c r="C15" t="s">
        <v>5</v>
      </c>
      <c r="D15" t="s">
        <v>6</v>
      </c>
      <c r="F15" t="s">
        <v>3</v>
      </c>
      <c r="G15" t="s">
        <v>4</v>
      </c>
      <c r="H15" t="s">
        <v>5</v>
      </c>
      <c r="I15" t="s">
        <v>6</v>
      </c>
    </row>
    <row r="16" spans="1:11" x14ac:dyDescent="0.2">
      <c r="A16" t="s">
        <v>7</v>
      </c>
      <c r="B16">
        <v>955</v>
      </c>
      <c r="C16">
        <v>0.95499999999999996</v>
      </c>
      <c r="D16">
        <v>10000</v>
      </c>
      <c r="F16" t="s">
        <v>7</v>
      </c>
      <c r="G16">
        <v>900</v>
      </c>
      <c r="H16">
        <v>0.9</v>
      </c>
      <c r="I16">
        <v>10000</v>
      </c>
      <c r="K16" s="1">
        <f>C16-H16</f>
        <v>5.4999999999999938E-2</v>
      </c>
    </row>
    <row r="17" spans="1:11" x14ac:dyDescent="0.2">
      <c r="A17" t="s">
        <v>8</v>
      </c>
      <c r="B17">
        <v>936</v>
      </c>
      <c r="C17">
        <v>0.93600000000000005</v>
      </c>
      <c r="D17">
        <v>10000</v>
      </c>
      <c r="F17" t="s">
        <v>8</v>
      </c>
      <c r="G17">
        <v>874</v>
      </c>
      <c r="H17">
        <v>0.874</v>
      </c>
      <c r="I17">
        <v>10000</v>
      </c>
      <c r="K17" s="1">
        <f t="shared" ref="K17:K20" si="1">C17-H17</f>
        <v>6.2000000000000055E-2</v>
      </c>
    </row>
    <row r="18" spans="1:11" x14ac:dyDescent="0.2">
      <c r="A18" t="s">
        <v>9</v>
      </c>
      <c r="B18">
        <v>986</v>
      </c>
      <c r="C18">
        <v>0.98599999999999999</v>
      </c>
      <c r="D18">
        <v>10000</v>
      </c>
      <c r="F18" t="s">
        <v>9</v>
      </c>
      <c r="G18">
        <v>969</v>
      </c>
      <c r="H18">
        <v>0.96899999999999997</v>
      </c>
      <c r="I18">
        <v>10000</v>
      </c>
      <c r="K18" s="1">
        <f t="shared" si="1"/>
        <v>1.7000000000000015E-2</v>
      </c>
    </row>
    <row r="19" spans="1:11" x14ac:dyDescent="0.2">
      <c r="A19" t="s">
        <v>10</v>
      </c>
      <c r="B19">
        <v>999</v>
      </c>
      <c r="C19">
        <v>0.999</v>
      </c>
      <c r="D19">
        <v>10000</v>
      </c>
      <c r="F19" t="s">
        <v>10</v>
      </c>
      <c r="G19">
        <v>999</v>
      </c>
      <c r="H19">
        <v>0.999</v>
      </c>
      <c r="I19">
        <v>10000</v>
      </c>
      <c r="K19" s="1">
        <f t="shared" si="1"/>
        <v>0</v>
      </c>
    </row>
    <row r="20" spans="1:11" x14ac:dyDescent="0.2">
      <c r="A20" t="s">
        <v>11</v>
      </c>
      <c r="B20">
        <v>990</v>
      </c>
      <c r="C20">
        <v>0.99</v>
      </c>
      <c r="D20">
        <v>10000</v>
      </c>
      <c r="F20" t="s">
        <v>11</v>
      </c>
      <c r="G20">
        <v>990</v>
      </c>
      <c r="H20">
        <v>0.99</v>
      </c>
      <c r="I20">
        <v>10000</v>
      </c>
      <c r="K20" s="1">
        <f t="shared" si="1"/>
        <v>0</v>
      </c>
    </row>
    <row r="21" spans="1:11" x14ac:dyDescent="0.2">
      <c r="K21" s="2">
        <f>AVERAGE(K16:K20)</f>
        <v>2.6800000000000001E-2</v>
      </c>
    </row>
    <row r="23" spans="1:11" x14ac:dyDescent="0.2">
      <c r="A23" t="s">
        <v>0</v>
      </c>
      <c r="F23" t="s">
        <v>0</v>
      </c>
    </row>
    <row r="24" spans="1:11" x14ac:dyDescent="0.2">
      <c r="A24" t="s">
        <v>13</v>
      </c>
      <c r="F24" t="s">
        <v>13</v>
      </c>
    </row>
    <row r="25" spans="1:11" x14ac:dyDescent="0.2">
      <c r="A25" t="s">
        <v>2</v>
      </c>
      <c r="F25" t="s">
        <v>14</v>
      </c>
    </row>
    <row r="26" spans="1:11" x14ac:dyDescent="0.2">
      <c r="A26" t="s">
        <v>3</v>
      </c>
      <c r="B26" t="s">
        <v>4</v>
      </c>
      <c r="C26" t="s">
        <v>5</v>
      </c>
      <c r="D26" t="s">
        <v>6</v>
      </c>
      <c r="F26" t="s">
        <v>3</v>
      </c>
      <c r="G26" t="s">
        <v>4</v>
      </c>
      <c r="H26" t="s">
        <v>5</v>
      </c>
      <c r="I26" t="s">
        <v>6</v>
      </c>
    </row>
    <row r="27" spans="1:11" x14ac:dyDescent="0.2">
      <c r="A27" t="s">
        <v>7</v>
      </c>
      <c r="B27">
        <v>993</v>
      </c>
      <c r="C27">
        <v>0.99299999999999999</v>
      </c>
      <c r="D27">
        <v>5000</v>
      </c>
      <c r="F27" t="s">
        <v>7</v>
      </c>
      <c r="G27">
        <v>989</v>
      </c>
      <c r="H27">
        <v>0.98899999999999999</v>
      </c>
      <c r="I27">
        <v>5000</v>
      </c>
      <c r="K27" s="1">
        <f>C27-H27</f>
        <v>4.0000000000000036E-3</v>
      </c>
    </row>
    <row r="28" spans="1:11" x14ac:dyDescent="0.2">
      <c r="A28" t="s">
        <v>8</v>
      </c>
      <c r="B28">
        <v>989</v>
      </c>
      <c r="C28">
        <v>0.98899999999999999</v>
      </c>
      <c r="D28">
        <v>5000</v>
      </c>
      <c r="F28" t="s">
        <v>8</v>
      </c>
      <c r="G28">
        <v>980</v>
      </c>
      <c r="H28">
        <v>0.98</v>
      </c>
      <c r="I28">
        <v>5000</v>
      </c>
      <c r="K28" s="1">
        <f t="shared" ref="K28:K31" si="2">C28-H28</f>
        <v>9.000000000000008E-3</v>
      </c>
    </row>
    <row r="29" spans="1:11" x14ac:dyDescent="0.2">
      <c r="A29" t="s">
        <v>9</v>
      </c>
      <c r="B29">
        <v>1000</v>
      </c>
      <c r="C29">
        <v>1</v>
      </c>
      <c r="D29">
        <v>5000</v>
      </c>
      <c r="F29" t="s">
        <v>9</v>
      </c>
      <c r="G29">
        <v>996</v>
      </c>
      <c r="H29">
        <v>0.996</v>
      </c>
      <c r="I29">
        <v>5000</v>
      </c>
      <c r="K29" s="1">
        <f t="shared" si="2"/>
        <v>4.0000000000000036E-3</v>
      </c>
    </row>
    <row r="30" spans="1:11" x14ac:dyDescent="0.2">
      <c r="A30" t="s">
        <v>10</v>
      </c>
      <c r="B30">
        <v>1000</v>
      </c>
      <c r="C30">
        <v>1</v>
      </c>
      <c r="D30">
        <v>5000</v>
      </c>
      <c r="F30" t="s">
        <v>10</v>
      </c>
      <c r="G30">
        <v>1000</v>
      </c>
      <c r="H30">
        <v>1</v>
      </c>
      <c r="I30">
        <v>5000</v>
      </c>
      <c r="K30" s="1">
        <f t="shared" si="2"/>
        <v>0</v>
      </c>
    </row>
    <row r="31" spans="1:11" x14ac:dyDescent="0.2">
      <c r="A31" t="s">
        <v>11</v>
      </c>
      <c r="B31">
        <v>999</v>
      </c>
      <c r="C31">
        <v>0.999</v>
      </c>
      <c r="D31">
        <v>5000</v>
      </c>
      <c r="F31" t="s">
        <v>11</v>
      </c>
      <c r="G31">
        <v>999</v>
      </c>
      <c r="H31">
        <v>0.999</v>
      </c>
      <c r="I31">
        <v>5000</v>
      </c>
      <c r="K31" s="1">
        <f t="shared" si="2"/>
        <v>0</v>
      </c>
    </row>
    <row r="32" spans="1:11" x14ac:dyDescent="0.2">
      <c r="K32" s="2">
        <f>AVERAGE(K27:K31)</f>
        <v>3.4000000000000028E-3</v>
      </c>
    </row>
    <row r="34" spans="1:11" x14ac:dyDescent="0.2">
      <c r="A34" t="s">
        <v>0</v>
      </c>
      <c r="F34" t="s">
        <v>0</v>
      </c>
    </row>
    <row r="35" spans="1:11" x14ac:dyDescent="0.2">
      <c r="A35" t="s">
        <v>19</v>
      </c>
      <c r="F35" t="s">
        <v>19</v>
      </c>
    </row>
    <row r="36" spans="1:11" x14ac:dyDescent="0.2">
      <c r="A36" t="s">
        <v>2</v>
      </c>
      <c r="F36" t="s">
        <v>14</v>
      </c>
    </row>
    <row r="37" spans="1:11" x14ac:dyDescent="0.2">
      <c r="A37" t="s">
        <v>3</v>
      </c>
      <c r="B37" t="s">
        <v>4</v>
      </c>
      <c r="C37" t="s">
        <v>5</v>
      </c>
      <c r="D37" t="s">
        <v>6</v>
      </c>
      <c r="F37" t="s">
        <v>3</v>
      </c>
      <c r="G37" t="s">
        <v>4</v>
      </c>
      <c r="H37" t="s">
        <v>5</v>
      </c>
      <c r="I37" t="s">
        <v>6</v>
      </c>
    </row>
    <row r="38" spans="1:11" x14ac:dyDescent="0.2">
      <c r="A38" t="s">
        <v>7</v>
      </c>
      <c r="B38">
        <v>1000</v>
      </c>
      <c r="C38">
        <v>1</v>
      </c>
      <c r="D38">
        <v>10000</v>
      </c>
      <c r="F38" t="s">
        <v>7</v>
      </c>
      <c r="G38">
        <v>1000</v>
      </c>
      <c r="H38">
        <v>1</v>
      </c>
      <c r="I38">
        <v>2000</v>
      </c>
      <c r="K38" s="1">
        <f>C38-H38</f>
        <v>0</v>
      </c>
    </row>
    <row r="39" spans="1:11" x14ac:dyDescent="0.2">
      <c r="A39" t="s">
        <v>8</v>
      </c>
      <c r="B39">
        <v>1000</v>
      </c>
      <c r="C39">
        <v>1</v>
      </c>
      <c r="D39">
        <v>10000</v>
      </c>
      <c r="F39" t="s">
        <v>8</v>
      </c>
      <c r="G39">
        <v>1000</v>
      </c>
      <c r="H39">
        <v>1</v>
      </c>
      <c r="I39">
        <v>2000</v>
      </c>
      <c r="K39" s="1">
        <f t="shared" ref="K39:K42" si="3">C39-H39</f>
        <v>0</v>
      </c>
    </row>
    <row r="40" spans="1:11" x14ac:dyDescent="0.2">
      <c r="A40" t="s">
        <v>9</v>
      </c>
      <c r="B40">
        <v>1000</v>
      </c>
      <c r="C40">
        <v>1</v>
      </c>
      <c r="D40">
        <v>10000</v>
      </c>
      <c r="F40" t="s">
        <v>9</v>
      </c>
      <c r="G40">
        <v>1000</v>
      </c>
      <c r="H40">
        <v>1</v>
      </c>
      <c r="I40">
        <v>2000</v>
      </c>
      <c r="K40" s="1">
        <f t="shared" si="3"/>
        <v>0</v>
      </c>
    </row>
    <row r="41" spans="1:11" x14ac:dyDescent="0.2">
      <c r="A41" t="s">
        <v>10</v>
      </c>
      <c r="B41">
        <v>1000</v>
      </c>
      <c r="C41">
        <v>1</v>
      </c>
      <c r="D41">
        <v>10000</v>
      </c>
      <c r="F41" t="s">
        <v>10</v>
      </c>
      <c r="G41">
        <v>1000</v>
      </c>
      <c r="H41">
        <v>1</v>
      </c>
      <c r="I41">
        <v>2000</v>
      </c>
      <c r="K41" s="1">
        <f t="shared" si="3"/>
        <v>0</v>
      </c>
    </row>
    <row r="42" spans="1:11" x14ac:dyDescent="0.2">
      <c r="A42" t="s">
        <v>11</v>
      </c>
      <c r="B42">
        <v>1000</v>
      </c>
      <c r="C42">
        <v>1</v>
      </c>
      <c r="D42">
        <v>10000</v>
      </c>
      <c r="F42" t="s">
        <v>11</v>
      </c>
      <c r="G42">
        <v>1000</v>
      </c>
      <c r="H42">
        <v>1</v>
      </c>
      <c r="I42">
        <v>2000</v>
      </c>
      <c r="K42" s="1">
        <f t="shared" si="3"/>
        <v>0</v>
      </c>
    </row>
    <row r="43" spans="1:11" x14ac:dyDescent="0.2">
      <c r="K43" s="2">
        <f>AVERAGE(K38:K42)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EAD6-F15C-5B46-A993-6D687901E9B7}">
  <dimension ref="A1:K39"/>
  <sheetViews>
    <sheetView tabSelected="1" workbookViewId="0">
      <selection activeCell="H40" sqref="H40"/>
    </sheetView>
  </sheetViews>
  <sheetFormatPr baseColWidth="10" defaultRowHeight="16" x14ac:dyDescent="0.2"/>
  <cols>
    <col min="1" max="1" width="30.83203125" bestFit="1" customWidth="1"/>
    <col min="2" max="2" width="16.6640625" bestFit="1" customWidth="1"/>
    <col min="3" max="3" width="9.1640625" bestFit="1" customWidth="1"/>
    <col min="4" max="4" width="13.6640625" bestFit="1" customWidth="1"/>
    <col min="6" max="6" width="30.83203125" bestFit="1" customWidth="1"/>
    <col min="7" max="7" width="16.6640625" bestFit="1" customWidth="1"/>
    <col min="8" max="8" width="9.1640625" bestFit="1" customWidth="1"/>
    <col min="9" max="9" width="13.6640625" bestFit="1" customWidth="1"/>
  </cols>
  <sheetData>
    <row r="1" spans="1:11" x14ac:dyDescent="0.2">
      <c r="A1" t="s">
        <v>16</v>
      </c>
      <c r="F1" t="s">
        <v>16</v>
      </c>
    </row>
    <row r="2" spans="1:11" x14ac:dyDescent="0.2">
      <c r="A2" t="s">
        <v>2</v>
      </c>
      <c r="F2" t="s">
        <v>14</v>
      </c>
    </row>
    <row r="3" spans="1:11" x14ac:dyDescent="0.2">
      <c r="A3" t="s">
        <v>3</v>
      </c>
      <c r="B3" t="s">
        <v>4</v>
      </c>
      <c r="C3" t="s">
        <v>5</v>
      </c>
      <c r="D3" t="s">
        <v>6</v>
      </c>
      <c r="F3" t="s">
        <v>3</v>
      </c>
      <c r="G3" t="s">
        <v>4</v>
      </c>
      <c r="H3" t="s">
        <v>5</v>
      </c>
      <c r="I3" t="s">
        <v>6</v>
      </c>
      <c r="K3" t="s">
        <v>18</v>
      </c>
    </row>
    <row r="4" spans="1:11" x14ac:dyDescent="0.2">
      <c r="A4" t="s">
        <v>7</v>
      </c>
      <c r="B4">
        <v>951</v>
      </c>
      <c r="C4">
        <v>0.95099999999999996</v>
      </c>
      <c r="D4">
        <v>20000</v>
      </c>
      <c r="F4" t="s">
        <v>7</v>
      </c>
      <c r="G4">
        <v>1914</v>
      </c>
      <c r="H4">
        <v>0.95699999999999996</v>
      </c>
      <c r="I4">
        <v>20000</v>
      </c>
      <c r="K4" s="1">
        <f>C4-H4</f>
        <v>-6.0000000000000053E-3</v>
      </c>
    </row>
    <row r="5" spans="1:11" x14ac:dyDescent="0.2">
      <c r="A5" t="s">
        <v>8</v>
      </c>
      <c r="B5">
        <v>955</v>
      </c>
      <c r="C5">
        <v>0.95499999999999996</v>
      </c>
      <c r="D5">
        <v>20000</v>
      </c>
      <c r="F5" t="s">
        <v>8</v>
      </c>
      <c r="G5">
        <v>1916</v>
      </c>
      <c r="H5">
        <v>0.95799999999999996</v>
      </c>
      <c r="I5">
        <v>20000</v>
      </c>
      <c r="K5" s="1">
        <f t="shared" ref="K5:K8" si="0">C5-H5</f>
        <v>-3.0000000000000027E-3</v>
      </c>
    </row>
    <row r="6" spans="1:11" x14ac:dyDescent="0.2">
      <c r="A6" t="s">
        <v>9</v>
      </c>
      <c r="B6">
        <v>954</v>
      </c>
      <c r="C6">
        <v>0.95399999999999996</v>
      </c>
      <c r="D6">
        <v>20000</v>
      </c>
      <c r="F6" t="s">
        <v>9</v>
      </c>
      <c r="G6">
        <v>1914</v>
      </c>
      <c r="H6">
        <v>0.95699999999999996</v>
      </c>
      <c r="I6">
        <v>20000</v>
      </c>
      <c r="K6" s="1">
        <f t="shared" si="0"/>
        <v>-3.0000000000000027E-3</v>
      </c>
    </row>
    <row r="7" spans="1:11" x14ac:dyDescent="0.2">
      <c r="A7" t="s">
        <v>10</v>
      </c>
      <c r="B7">
        <v>948</v>
      </c>
      <c r="C7">
        <v>0.94799999999999995</v>
      </c>
      <c r="D7">
        <v>20000</v>
      </c>
      <c r="F7" t="s">
        <v>10</v>
      </c>
      <c r="G7">
        <v>1906</v>
      </c>
      <c r="H7">
        <v>0.95299999999999996</v>
      </c>
      <c r="I7">
        <v>20000</v>
      </c>
      <c r="K7" s="1">
        <f t="shared" si="0"/>
        <v>-5.0000000000000044E-3</v>
      </c>
    </row>
    <row r="8" spans="1:11" x14ac:dyDescent="0.2">
      <c r="A8" t="s">
        <v>11</v>
      </c>
      <c r="B8">
        <v>951</v>
      </c>
      <c r="C8">
        <v>0.95099999999999996</v>
      </c>
      <c r="D8">
        <v>20000</v>
      </c>
      <c r="F8" t="s">
        <v>11</v>
      </c>
      <c r="G8">
        <v>1916</v>
      </c>
      <c r="H8">
        <v>0.95799999999999996</v>
      </c>
      <c r="I8">
        <v>20000</v>
      </c>
      <c r="K8" s="1">
        <f t="shared" si="0"/>
        <v>-7.0000000000000062E-3</v>
      </c>
    </row>
    <row r="9" spans="1:11" x14ac:dyDescent="0.2">
      <c r="K9" s="2">
        <f>AVERAGE(K4:K8)</f>
        <v>-4.8000000000000039E-3</v>
      </c>
    </row>
    <row r="11" spans="1:11" x14ac:dyDescent="0.2">
      <c r="A11" t="s">
        <v>17</v>
      </c>
      <c r="F11" t="s">
        <v>17</v>
      </c>
    </row>
    <row r="12" spans="1:11" x14ac:dyDescent="0.2">
      <c r="A12" t="s">
        <v>2</v>
      </c>
      <c r="F12" t="s">
        <v>14</v>
      </c>
    </row>
    <row r="13" spans="1:11" x14ac:dyDescent="0.2">
      <c r="A13" t="s">
        <v>3</v>
      </c>
      <c r="B13" t="s">
        <v>4</v>
      </c>
      <c r="C13" t="s">
        <v>5</v>
      </c>
      <c r="D13" t="s">
        <v>6</v>
      </c>
      <c r="F13" t="s">
        <v>3</v>
      </c>
      <c r="G13" t="s">
        <v>4</v>
      </c>
      <c r="H13" t="s">
        <v>5</v>
      </c>
      <c r="I13" t="s">
        <v>6</v>
      </c>
    </row>
    <row r="14" spans="1:11" x14ac:dyDescent="0.2">
      <c r="A14" t="s">
        <v>7</v>
      </c>
      <c r="B14">
        <v>954</v>
      </c>
      <c r="C14">
        <v>0.95399999999999996</v>
      </c>
      <c r="D14">
        <v>10000</v>
      </c>
      <c r="F14" t="s">
        <v>7</v>
      </c>
      <c r="G14">
        <v>1902</v>
      </c>
      <c r="H14">
        <v>0.95099999999999996</v>
      </c>
      <c r="I14">
        <v>10000</v>
      </c>
      <c r="K14" s="1">
        <f>C15-H15</f>
        <v>-3.0000000000000027E-3</v>
      </c>
    </row>
    <row r="15" spans="1:11" x14ac:dyDescent="0.2">
      <c r="A15" t="s">
        <v>8</v>
      </c>
      <c r="B15">
        <v>948</v>
      </c>
      <c r="C15">
        <v>0.94799999999999995</v>
      </c>
      <c r="D15">
        <v>10000</v>
      </c>
      <c r="F15" t="s">
        <v>8</v>
      </c>
      <c r="G15">
        <v>1902</v>
      </c>
      <c r="H15">
        <v>0.95099999999999996</v>
      </c>
      <c r="I15">
        <v>10000</v>
      </c>
      <c r="K15" s="1">
        <f>C16-H16</f>
        <v>8.0000000000000071E-3</v>
      </c>
    </row>
    <row r="16" spans="1:11" x14ac:dyDescent="0.2">
      <c r="A16" t="s">
        <v>9</v>
      </c>
      <c r="B16">
        <v>950</v>
      </c>
      <c r="C16">
        <v>0.95</v>
      </c>
      <c r="D16">
        <v>10000</v>
      </c>
      <c r="F16" t="s">
        <v>9</v>
      </c>
      <c r="G16">
        <v>1884</v>
      </c>
      <c r="H16">
        <v>0.94199999999999995</v>
      </c>
      <c r="I16">
        <v>10000</v>
      </c>
      <c r="K16" s="1">
        <f>C17-H17</f>
        <v>-2.0000000000000018E-3</v>
      </c>
    </row>
    <row r="17" spans="1:11" x14ac:dyDescent="0.2">
      <c r="A17" t="s">
        <v>10</v>
      </c>
      <c r="B17">
        <v>952</v>
      </c>
      <c r="C17">
        <v>0.95199999999999996</v>
      </c>
      <c r="D17">
        <v>10000</v>
      </c>
      <c r="F17" t="s">
        <v>10</v>
      </c>
      <c r="G17">
        <v>1908</v>
      </c>
      <c r="H17">
        <v>0.95399999999999996</v>
      </c>
      <c r="I17">
        <v>10000</v>
      </c>
      <c r="K17" s="1">
        <f>C18-H18</f>
        <v>1.4000000000000012E-2</v>
      </c>
    </row>
    <row r="18" spans="1:11" x14ac:dyDescent="0.2">
      <c r="A18" t="s">
        <v>11</v>
      </c>
      <c r="B18">
        <v>958</v>
      </c>
      <c r="C18">
        <v>0.95799999999999996</v>
      </c>
      <c r="D18">
        <v>10000</v>
      </c>
      <c r="F18" t="s">
        <v>11</v>
      </c>
      <c r="G18">
        <v>1888</v>
      </c>
      <c r="H18">
        <v>0.94399999999999995</v>
      </c>
      <c r="I18">
        <v>10000</v>
      </c>
      <c r="K18" s="1">
        <f>C19-H19</f>
        <v>0</v>
      </c>
    </row>
    <row r="19" spans="1:11" x14ac:dyDescent="0.2">
      <c r="K19" s="2">
        <f>AVERAGE(K14:K18)</f>
        <v>3.4000000000000028E-3</v>
      </c>
    </row>
    <row r="21" spans="1:11" x14ac:dyDescent="0.2">
      <c r="A21" t="s">
        <v>15</v>
      </c>
      <c r="F21" t="s">
        <v>15</v>
      </c>
    </row>
    <row r="22" spans="1:11" x14ac:dyDescent="0.2">
      <c r="A22" t="s">
        <v>2</v>
      </c>
      <c r="F22" t="s">
        <v>14</v>
      </c>
    </row>
    <row r="23" spans="1:11" x14ac:dyDescent="0.2">
      <c r="A23" t="s">
        <v>3</v>
      </c>
      <c r="B23" t="s">
        <v>4</v>
      </c>
      <c r="C23" t="s">
        <v>5</v>
      </c>
      <c r="D23" t="s">
        <v>6</v>
      </c>
      <c r="F23" t="s">
        <v>3</v>
      </c>
      <c r="G23" t="s">
        <v>4</v>
      </c>
      <c r="H23" t="s">
        <v>5</v>
      </c>
      <c r="I23" t="s">
        <v>6</v>
      </c>
    </row>
    <row r="24" spans="1:11" x14ac:dyDescent="0.2">
      <c r="A24" t="s">
        <v>7</v>
      </c>
      <c r="B24">
        <v>955</v>
      </c>
      <c r="C24">
        <v>0.95499999999999996</v>
      </c>
      <c r="D24">
        <v>5000</v>
      </c>
      <c r="F24" t="s">
        <v>7</v>
      </c>
      <c r="G24">
        <v>1902</v>
      </c>
      <c r="H24">
        <v>0.95099999999999996</v>
      </c>
      <c r="I24">
        <v>5000</v>
      </c>
      <c r="K24" s="1">
        <f>C26-H26</f>
        <v>9.9999999999998979E-3</v>
      </c>
    </row>
    <row r="25" spans="1:11" x14ac:dyDescent="0.2">
      <c r="A25" t="s">
        <v>8</v>
      </c>
      <c r="B25">
        <v>952</v>
      </c>
      <c r="C25">
        <v>0.95199999999999996</v>
      </c>
      <c r="D25">
        <v>5000</v>
      </c>
      <c r="F25" t="s">
        <v>8</v>
      </c>
      <c r="G25">
        <v>1906</v>
      </c>
      <c r="H25">
        <v>0.95299999999999996</v>
      </c>
      <c r="I25">
        <v>5000</v>
      </c>
      <c r="K25" s="1">
        <f>C27-H27</f>
        <v>-2.8999999999999915E-2</v>
      </c>
    </row>
    <row r="26" spans="1:11" x14ac:dyDescent="0.2">
      <c r="A26" t="s">
        <v>9</v>
      </c>
      <c r="B26">
        <v>947</v>
      </c>
      <c r="C26">
        <v>0.94699999999999995</v>
      </c>
      <c r="D26">
        <v>5000</v>
      </c>
      <c r="F26" t="s">
        <v>9</v>
      </c>
      <c r="G26">
        <v>1874</v>
      </c>
      <c r="H26">
        <v>0.93700000000000006</v>
      </c>
      <c r="I26">
        <v>5000</v>
      </c>
      <c r="K26" s="1">
        <f>C28-H28</f>
        <v>1.100000000000001E-2</v>
      </c>
    </row>
    <row r="27" spans="1:11" x14ac:dyDescent="0.2">
      <c r="A27" t="s">
        <v>10</v>
      </c>
      <c r="B27">
        <v>935</v>
      </c>
      <c r="C27">
        <v>0.93500000000000005</v>
      </c>
      <c r="D27">
        <v>5000</v>
      </c>
      <c r="F27" t="s">
        <v>10</v>
      </c>
      <c r="G27">
        <v>1928</v>
      </c>
      <c r="H27">
        <v>0.96399999999999997</v>
      </c>
      <c r="I27">
        <v>5000</v>
      </c>
      <c r="K27" s="1">
        <f>C29-H29</f>
        <v>0</v>
      </c>
    </row>
    <row r="28" spans="1:11" x14ac:dyDescent="0.2">
      <c r="A28" t="s">
        <v>11</v>
      </c>
      <c r="B28">
        <v>954</v>
      </c>
      <c r="C28">
        <v>0.95399999999999996</v>
      </c>
      <c r="D28">
        <v>5000</v>
      </c>
      <c r="F28" t="s">
        <v>11</v>
      </c>
      <c r="G28">
        <v>1886</v>
      </c>
      <c r="H28">
        <v>0.94299999999999995</v>
      </c>
      <c r="I28">
        <v>5000</v>
      </c>
      <c r="K28" s="1">
        <f>C30-H30</f>
        <v>0</v>
      </c>
    </row>
    <row r="29" spans="1:11" x14ac:dyDescent="0.2">
      <c r="K29" s="2">
        <f>AVERAGE(K24:K28)</f>
        <v>-1.6000000000000014E-3</v>
      </c>
    </row>
    <row r="31" spans="1:11" x14ac:dyDescent="0.2">
      <c r="A31" t="s">
        <v>20</v>
      </c>
      <c r="F31" t="s">
        <v>20</v>
      </c>
    </row>
    <row r="32" spans="1:11" x14ac:dyDescent="0.2">
      <c r="A32" t="s">
        <v>2</v>
      </c>
      <c r="F32" t="s">
        <v>14</v>
      </c>
    </row>
    <row r="33" spans="1:11" x14ac:dyDescent="0.2">
      <c r="A33" t="s">
        <v>3</v>
      </c>
      <c r="B33" t="s">
        <v>4</v>
      </c>
      <c r="C33" t="s">
        <v>5</v>
      </c>
      <c r="D33" t="s">
        <v>6</v>
      </c>
      <c r="F33" t="s">
        <v>3</v>
      </c>
      <c r="G33" t="s">
        <v>4</v>
      </c>
      <c r="H33" t="s">
        <v>5</v>
      </c>
      <c r="I33" t="s">
        <v>6</v>
      </c>
    </row>
    <row r="34" spans="1:11" x14ac:dyDescent="0.2">
      <c r="A34" t="s">
        <v>7</v>
      </c>
      <c r="B34">
        <v>1882</v>
      </c>
      <c r="C34">
        <v>0.94099999999999995</v>
      </c>
      <c r="D34">
        <v>2000</v>
      </c>
      <c r="F34" t="s">
        <v>7</v>
      </c>
      <c r="G34">
        <v>955</v>
      </c>
      <c r="H34">
        <v>0.95499999999999996</v>
      </c>
      <c r="I34">
        <v>2000</v>
      </c>
      <c r="K34" s="1">
        <f>C36-H36</f>
        <v>-2.0000000000000018E-2</v>
      </c>
    </row>
    <row r="35" spans="1:11" x14ac:dyDescent="0.2">
      <c r="A35" t="s">
        <v>8</v>
      </c>
      <c r="B35">
        <v>1908</v>
      </c>
      <c r="C35">
        <v>0.95399999999999996</v>
      </c>
      <c r="D35">
        <v>2000</v>
      </c>
      <c r="F35" t="s">
        <v>8</v>
      </c>
      <c r="G35">
        <v>946</v>
      </c>
      <c r="H35">
        <v>0.94599999999999995</v>
      </c>
      <c r="I35">
        <v>2000</v>
      </c>
      <c r="K35" s="1">
        <f>C37-H37</f>
        <v>7.9999999999998961E-3</v>
      </c>
    </row>
    <row r="36" spans="1:11" x14ac:dyDescent="0.2">
      <c r="A36" t="s">
        <v>9</v>
      </c>
      <c r="B36">
        <v>1880</v>
      </c>
      <c r="C36">
        <v>0.94</v>
      </c>
      <c r="D36">
        <v>2000</v>
      </c>
      <c r="F36" t="s">
        <v>9</v>
      </c>
      <c r="G36">
        <v>960</v>
      </c>
      <c r="H36">
        <v>0.96</v>
      </c>
      <c r="I36">
        <v>2000</v>
      </c>
      <c r="K36" s="1">
        <f>C38-H38</f>
        <v>-1.0000000000000009E-2</v>
      </c>
    </row>
    <row r="37" spans="1:11" x14ac:dyDescent="0.2">
      <c r="A37" t="s">
        <v>10</v>
      </c>
      <c r="B37">
        <v>1878</v>
      </c>
      <c r="C37">
        <v>0.93899999999999995</v>
      </c>
      <c r="D37">
        <v>2000</v>
      </c>
      <c r="F37" t="s">
        <v>10</v>
      </c>
      <c r="G37">
        <v>931</v>
      </c>
      <c r="H37">
        <v>0.93100000000000005</v>
      </c>
      <c r="I37">
        <v>2000</v>
      </c>
      <c r="K37" s="1">
        <f>C39-H39</f>
        <v>0</v>
      </c>
    </row>
    <row r="38" spans="1:11" x14ac:dyDescent="0.2">
      <c r="A38" t="s">
        <v>11</v>
      </c>
      <c r="B38">
        <v>1844</v>
      </c>
      <c r="C38">
        <v>0.92200000000000004</v>
      </c>
      <c r="D38">
        <v>2000</v>
      </c>
      <c r="F38" t="s">
        <v>11</v>
      </c>
      <c r="G38">
        <v>932</v>
      </c>
      <c r="H38">
        <v>0.93200000000000005</v>
      </c>
      <c r="I38">
        <v>2000</v>
      </c>
      <c r="K38" s="1">
        <f>C40-H40</f>
        <v>0</v>
      </c>
    </row>
    <row r="39" spans="1:11" x14ac:dyDescent="0.2">
      <c r="K39" s="2">
        <f>AVERAGE(K34:K38)</f>
        <v>-4.4000000000000263E-3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Metodo 1 sub votos</vt:lpstr>
      <vt:lpstr>Metodo 2 sub votos</vt:lpstr>
      <vt:lpstr>Votos directo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2025-01-29T23:48:39Z</dcterms:created>
  <dcterms:modified xsi:type="dcterms:W3CDTF">2025-01-30T00:53:29Z</dcterms:modified>
</cp:coreProperties>
</file>